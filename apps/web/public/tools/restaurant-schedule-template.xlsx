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 schedule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mmm d, yyyy"/>
    <numFmt numFmtId="166" formatCode="&quot;$&quot;#,##0.00"/>
    <numFmt numFmtId="167" formatCode="0.0"/>
    <numFmt numFmtId="168" formatCode="0.0&quot; h&quot;"/>
    <numFmt numFmtId="169" formatCode="&quot;$&quot;#,##0"/>
    <numFmt numFmtId="170" formatCode="0.0%"/>
  </numFmts>
  <fonts count="11">
    <font>
      <name val="Calibri"/>
      <family val="2"/>
      <color theme="1"/>
      <sz val="11"/>
      <scheme val="minor"/>
    </font>
    <font>
      <b val="1"/>
      <sz val="18"/>
    </font>
    <font>
      <b val="1"/>
      <color rgb="003C3C43"/>
    </font>
    <font>
      <i val="1"/>
      <color rgb="001F5BD6"/>
    </font>
    <font>
      <b val="1"/>
      <color rgb="00FFFFFF"/>
    </font>
    <font>
      <b val="1"/>
      <color rgb="001F5BD6"/>
    </font>
    <font>
      <b val="1"/>
    </font>
    <font>
      <i val="1"/>
      <color rgb="006C6C70"/>
    </font>
    <font>
      <b val="1"/>
      <color rgb="00000000"/>
      <sz val="14"/>
    </font>
    <font>
      <color rgb="00000000"/>
      <sz val="11"/>
    </font>
    <font>
      <b val="1"/>
      <color rgb="001F5BD6"/>
      <sz val="14"/>
    </font>
  </fonts>
  <fills count="5">
    <fill>
      <patternFill/>
    </fill>
    <fill>
      <patternFill patternType="gray125"/>
    </fill>
    <fill>
      <patternFill patternType="solid">
        <fgColor rgb="001F5BD6"/>
      </patternFill>
    </fill>
    <fill>
      <patternFill patternType="solid">
        <fgColor rgb="00E8F0FE"/>
      </patternFill>
    </fill>
    <fill>
      <patternFill patternType="solid">
        <fgColor rgb="00F2F2F7"/>
      </patternFill>
    </fill>
  </fills>
  <borders count="2">
    <border>
      <left/>
      <right/>
      <top/>
      <bottom/>
      <diagonal/>
    </border>
    <border>
      <left style="thin">
        <color rgb="00C6C6C8"/>
      </left>
      <right style="thin">
        <color rgb="00C6C6C8"/>
      </right>
      <top style="thin">
        <color rgb="00C6C6C8"/>
      </top>
      <bottom style="thin">
        <color rgb="00C6C6C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6" fontId="0" fillId="0" borderId="1" pivotButton="0" quotePrefix="0" xfId="0"/>
    <xf numFmtId="18" fontId="0" fillId="0" borderId="1" applyAlignment="1" pivotButton="0" quotePrefix="0" xfId="0">
      <alignment horizontal="center"/>
    </xf>
    <xf numFmtId="167" fontId="0" fillId="0" borderId="1" pivotButton="0" quotePrefix="0" xfId="0"/>
    <xf numFmtId="0" fontId="0" fillId="4" borderId="1" pivotButton="0" quotePrefix="0" xfId="0"/>
    <xf numFmtId="166" fontId="0" fillId="4" borderId="1" pivotButton="0" quotePrefix="0" xfId="0"/>
    <xf numFmtId="18" fontId="0" fillId="4" borderId="1" applyAlignment="1" pivotButton="0" quotePrefix="0" xfId="0">
      <alignment horizontal="center"/>
    </xf>
    <xf numFmtId="167" fontId="0" fillId="4" borderId="1" pivotButton="0" quotePrefix="0" xfId="0"/>
    <xf numFmtId="0" fontId="6" fillId="3" borderId="1" pivotButton="0" quotePrefix="0" xfId="0"/>
    <xf numFmtId="168" fontId="6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167" fontId="6" fillId="3" borderId="1" applyAlignment="1" pivotButton="0" quotePrefix="0" xfId="0">
      <alignment horizontal="center"/>
    </xf>
    <xf numFmtId="166" fontId="6" fillId="3" borderId="1" applyAlignment="1" pivotButton="0" quotePrefix="0" xfId="0">
      <alignment horizontal="center"/>
    </xf>
    <xf numFmtId="0" fontId="6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latofy.app/tools/restaurant-schedule-template?utm_source=template&amp;utm_medium=xlsx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platofy.app/?utm_source=template&amp;utm_medium=xlsx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14" customWidth="1" min="19" max="19"/>
  </cols>
  <sheetData>
    <row r="1">
      <c r="A1" s="1" t="inlineStr">
        <is>
          <t>Restaurant weekly schedule</t>
        </is>
      </c>
    </row>
    <row r="2">
      <c r="A2" s="2" t="inlineStr">
        <is>
          <t>Restaurant:</t>
        </is>
      </c>
      <c r="B2" t="inlineStr">
        <is>
          <t>Your restaurant</t>
        </is>
      </c>
      <c r="E2" s="3" t="inlineStr">
        <is>
          <t>Made with the free template from platofy.app — build this week in 2 minutes with auto-scheduling.</t>
        </is>
      </c>
    </row>
    <row r="3">
      <c r="A3" s="2" t="inlineStr">
        <is>
          <t>Week of (Monday):</t>
        </is>
      </c>
      <c r="B3" s="4" t="n">
        <v>46300</v>
      </c>
    </row>
    <row r="5" ht="30" customHeight="1">
      <c r="A5" s="5" t="inlineStr">
        <is>
          <t>Employee</t>
        </is>
      </c>
      <c r="B5" s="5" t="inlineStr">
        <is>
          <t>Position</t>
        </is>
      </c>
      <c r="C5" s="5" t="inlineStr">
        <is>
          <t>Hourly rate ($)</t>
        </is>
      </c>
      <c r="D5" s="5">
        <f>TEXT($B$3+0,"ddd mmm d")</f>
        <v/>
      </c>
      <c r="E5" s="5" t="n"/>
      <c r="F5" s="5">
        <f>TEXT($B$3+1,"ddd mmm d")</f>
        <v/>
      </c>
      <c r="G5" s="5" t="n"/>
      <c r="H5" s="5">
        <f>TEXT($B$3+2,"ddd mmm d")</f>
        <v/>
      </c>
      <c r="I5" s="5" t="n"/>
      <c r="J5" s="5">
        <f>TEXT($B$3+3,"ddd mmm d")</f>
        <v/>
      </c>
      <c r="K5" s="5" t="n"/>
      <c r="L5" s="5">
        <f>TEXT($B$3+4,"ddd mmm d")</f>
        <v/>
      </c>
      <c r="M5" s="5" t="n"/>
      <c r="N5" s="5">
        <f>TEXT($B$3+5,"ddd mmm d")</f>
        <v/>
      </c>
      <c r="O5" s="5" t="n"/>
      <c r="P5" s="5">
        <f>TEXT($B$3+6,"ddd mmm d")</f>
        <v/>
      </c>
      <c r="Q5" s="5" t="n"/>
      <c r="R5" s="5" t="inlineStr">
        <is>
          <t>Hours</t>
        </is>
      </c>
      <c r="S5" s="5" t="inlineStr">
        <is>
          <t>Labor cost ($)</t>
        </is>
      </c>
    </row>
    <row r="6">
      <c r="A6" s="6" t="n"/>
      <c r="B6" s="6" t="n"/>
      <c r="C6" s="6" t="n"/>
      <c r="D6" s="6" t="inlineStr">
        <is>
          <t>In</t>
        </is>
      </c>
      <c r="E6" s="6" t="inlineStr">
        <is>
          <t>Out</t>
        </is>
      </c>
      <c r="F6" s="6" t="inlineStr">
        <is>
          <t>In</t>
        </is>
      </c>
      <c r="G6" s="6" t="inlineStr">
        <is>
          <t>Out</t>
        </is>
      </c>
      <c r="H6" s="6" t="inlineStr">
        <is>
          <t>In</t>
        </is>
      </c>
      <c r="I6" s="6" t="inlineStr">
        <is>
          <t>Out</t>
        </is>
      </c>
      <c r="J6" s="6" t="inlineStr">
        <is>
          <t>In</t>
        </is>
      </c>
      <c r="K6" s="6" t="inlineStr">
        <is>
          <t>Out</t>
        </is>
      </c>
      <c r="L6" s="6" t="inlineStr">
        <is>
          <t>In</t>
        </is>
      </c>
      <c r="M6" s="6" t="inlineStr">
        <is>
          <t>Out</t>
        </is>
      </c>
      <c r="N6" s="6" t="inlineStr">
        <is>
          <t>In</t>
        </is>
      </c>
      <c r="O6" s="6" t="inlineStr">
        <is>
          <t>Out</t>
        </is>
      </c>
      <c r="P6" s="6" t="inlineStr">
        <is>
          <t>In</t>
        </is>
      </c>
      <c r="Q6" s="6" t="inlineStr">
        <is>
          <t>Out</t>
        </is>
      </c>
      <c r="R6" s="6" t="n"/>
      <c r="S6" s="6" t="n"/>
    </row>
    <row r="7">
      <c r="A7" s="7" t="inlineStr">
        <is>
          <t>Maria Lopez</t>
        </is>
      </c>
      <c r="B7" s="7" t="inlineStr">
        <is>
          <t>Server</t>
        </is>
      </c>
      <c r="C7" s="8" t="n">
        <v>12.5</v>
      </c>
      <c r="D7" s="9" t="n">
        <v>0.4583333333333333</v>
      </c>
      <c r="E7" s="9" t="n">
        <v>0.6666666666666666</v>
      </c>
      <c r="F7" s="9" t="n">
        <v>0.4583333333333333</v>
      </c>
      <c r="G7" s="9" t="n">
        <v>0.6666666666666666</v>
      </c>
      <c r="H7" s="9" t="n"/>
      <c r="I7" s="9" t="n"/>
      <c r="J7" s="9" t="n">
        <v>0.6666666666666666</v>
      </c>
      <c r="K7" s="9" t="n">
        <v>0.9583333333333334</v>
      </c>
      <c r="L7" s="9" t="n">
        <v>0.6666666666666666</v>
      </c>
      <c r="M7" s="9" t="n">
        <v>0.9583333333333334</v>
      </c>
      <c r="N7" s="9" t="n">
        <v>0.6666666666666666</v>
      </c>
      <c r="O7" s="9" t="n">
        <v>0.9791666666666666</v>
      </c>
      <c r="P7" s="9" t="n"/>
      <c r="Q7" s="9" t="n"/>
      <c r="R7" s="10">
        <f>IF(AND(D7&lt;&gt;"",E7&lt;&gt;""),MOD(E7-D7,1)*24,0)+IF(AND(F7&lt;&gt;"",G7&lt;&gt;""),MOD(G7-F7,1)*24,0)+IF(AND(H7&lt;&gt;"",I7&lt;&gt;""),MOD(I7-H7,1)*24,0)+IF(AND(J7&lt;&gt;"",K7&lt;&gt;""),MOD(K7-J7,1)*24,0)+IF(AND(L7&lt;&gt;"",M7&lt;&gt;""),MOD(M7-L7,1)*24,0)+IF(AND(N7&lt;&gt;"",O7&lt;&gt;""),MOD(O7-N7,1)*24,0)+IF(AND(P7&lt;&gt;"",Q7&lt;&gt;""),MOD(Q7-P7,1)*24,0)</f>
        <v/>
      </c>
      <c r="S7" s="8">
        <f>R7*C7</f>
        <v/>
      </c>
    </row>
    <row r="8">
      <c r="A8" s="11" t="inlineStr">
        <is>
          <t>Jake Chen</t>
        </is>
      </c>
      <c r="B8" s="11" t="inlineStr">
        <is>
          <t>Line cook</t>
        </is>
      </c>
      <c r="C8" s="12" t="n">
        <v>19</v>
      </c>
      <c r="D8" s="13" t="n"/>
      <c r="E8" s="13" t="n"/>
      <c r="F8" s="13" t="n">
        <v>0.4166666666666667</v>
      </c>
      <c r="G8" s="13" t="n">
        <v>0.75</v>
      </c>
      <c r="H8" s="13" t="n">
        <v>0.4166666666666667</v>
      </c>
      <c r="I8" s="13" t="n">
        <v>0.75</v>
      </c>
      <c r="J8" s="13" t="n">
        <v>0.4166666666666667</v>
      </c>
      <c r="K8" s="13" t="n">
        <v>0.75</v>
      </c>
      <c r="L8" s="13" t="n">
        <v>0.625</v>
      </c>
      <c r="M8" s="13" t="n">
        <v>0.9583333333333334</v>
      </c>
      <c r="N8" s="13" t="n">
        <v>0.625</v>
      </c>
      <c r="O8" s="13" t="n">
        <v>0.9583333333333334</v>
      </c>
      <c r="P8" s="13" t="n"/>
      <c r="Q8" s="13" t="n"/>
      <c r="R8" s="14">
        <f>IF(AND(D8&lt;&gt;"",E8&lt;&gt;""),MOD(E8-D8,1)*24,0)+IF(AND(F8&lt;&gt;"",G8&lt;&gt;""),MOD(G8-F8,1)*24,0)+IF(AND(H8&lt;&gt;"",I8&lt;&gt;""),MOD(I8-H8,1)*24,0)+IF(AND(J8&lt;&gt;"",K8&lt;&gt;""),MOD(K8-J8,1)*24,0)+IF(AND(L8&lt;&gt;"",M8&lt;&gt;""),MOD(M8-L8,1)*24,0)+IF(AND(N8&lt;&gt;"",O8&lt;&gt;""),MOD(O8-N8,1)*24,0)+IF(AND(P8&lt;&gt;"",Q8&lt;&gt;""),MOD(Q8-P8,1)*24,0)</f>
        <v/>
      </c>
      <c r="S8" s="12">
        <f>R8*C8</f>
        <v/>
      </c>
    </row>
    <row r="9">
      <c r="A9" s="7" t="inlineStr">
        <is>
          <t>Leo Martins</t>
        </is>
      </c>
      <c r="B9" s="7" t="inlineStr">
        <is>
          <t>Bartender</t>
        </is>
      </c>
      <c r="C9" s="8" t="n">
        <v>14</v>
      </c>
      <c r="D9" s="9" t="n"/>
      <c r="E9" s="9" t="n"/>
      <c r="F9" s="9" t="n"/>
      <c r="G9" s="9" t="n"/>
      <c r="H9" s="9" t="n">
        <v>0.7083333333333334</v>
      </c>
      <c r="I9" s="9" t="n">
        <v>0.04166666666666666</v>
      </c>
      <c r="J9" s="9" t="n">
        <v>0.7083333333333334</v>
      </c>
      <c r="K9" s="9" t="n">
        <v>0.04166666666666666</v>
      </c>
      <c r="L9" s="9" t="n">
        <v>0.7083333333333334</v>
      </c>
      <c r="M9" s="9" t="n">
        <v>0.08333333333333333</v>
      </c>
      <c r="N9" s="9" t="n">
        <v>0.7083333333333334</v>
      </c>
      <c r="O9" s="9" t="n">
        <v>0.08333333333333333</v>
      </c>
      <c r="P9" s="9" t="n">
        <v>0.5</v>
      </c>
      <c r="Q9" s="9" t="n">
        <v>0.8333333333333334</v>
      </c>
      <c r="R9" s="10">
        <f>IF(AND(D9&lt;&gt;"",E9&lt;&gt;""),MOD(E9-D9,1)*24,0)+IF(AND(F9&lt;&gt;"",G9&lt;&gt;""),MOD(G9-F9,1)*24,0)+IF(AND(H9&lt;&gt;"",I9&lt;&gt;""),MOD(I9-H9,1)*24,0)+IF(AND(J9&lt;&gt;"",K9&lt;&gt;""),MOD(K9-J9,1)*24,0)+IF(AND(L9&lt;&gt;"",M9&lt;&gt;""),MOD(M9-L9,1)*24,0)+IF(AND(N9&lt;&gt;"",O9&lt;&gt;""),MOD(O9-N9,1)*24,0)+IF(AND(P9&lt;&gt;"",Q9&lt;&gt;""),MOD(Q9-P9,1)*24,0)</f>
        <v/>
      </c>
      <c r="S9" s="8">
        <f>R9*C9</f>
        <v/>
      </c>
    </row>
    <row r="10">
      <c r="A10" s="11" t="n"/>
      <c r="B10" s="11" t="n"/>
      <c r="C10" s="12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4">
        <f>IF(AND(D10&lt;&gt;"",E10&lt;&gt;""),MOD(E10-D10,1)*24,0)+IF(AND(F10&lt;&gt;"",G10&lt;&gt;""),MOD(G10-F10,1)*24,0)+IF(AND(H10&lt;&gt;"",I10&lt;&gt;""),MOD(I10-H10,1)*24,0)+IF(AND(J10&lt;&gt;"",K10&lt;&gt;""),MOD(K10-J10,1)*24,0)+IF(AND(L10&lt;&gt;"",M10&lt;&gt;""),MOD(M10-L10,1)*24,0)+IF(AND(N10&lt;&gt;"",O10&lt;&gt;""),MOD(O10-N10,1)*24,0)+IF(AND(P10&lt;&gt;"",Q10&lt;&gt;""),MOD(Q10-P10,1)*24,0)</f>
        <v/>
      </c>
      <c r="S10" s="12">
        <f>R10*C10</f>
        <v/>
      </c>
    </row>
    <row r="11">
      <c r="A11" s="7" t="n"/>
      <c r="B11" s="7" t="n"/>
      <c r="C11" s="8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10">
        <f>IF(AND(D11&lt;&gt;"",E11&lt;&gt;""),MOD(E11-D11,1)*24,0)+IF(AND(F11&lt;&gt;"",G11&lt;&gt;""),MOD(G11-F11,1)*24,0)+IF(AND(H11&lt;&gt;"",I11&lt;&gt;""),MOD(I11-H11,1)*24,0)+IF(AND(J11&lt;&gt;"",K11&lt;&gt;""),MOD(K11-J11,1)*24,0)+IF(AND(L11&lt;&gt;"",M11&lt;&gt;""),MOD(M11-L11,1)*24,0)+IF(AND(N11&lt;&gt;"",O11&lt;&gt;""),MOD(O11-N11,1)*24,0)+IF(AND(P11&lt;&gt;"",Q11&lt;&gt;""),MOD(Q11-P11,1)*24,0)</f>
        <v/>
      </c>
      <c r="S11" s="8">
        <f>R11*C11</f>
        <v/>
      </c>
    </row>
    <row r="12">
      <c r="A12" s="11" t="n"/>
      <c r="B12" s="11" t="n"/>
      <c r="C12" s="12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4">
        <f>IF(AND(D12&lt;&gt;"",E12&lt;&gt;""),MOD(E12-D12,1)*24,0)+IF(AND(F12&lt;&gt;"",G12&lt;&gt;""),MOD(G12-F12,1)*24,0)+IF(AND(H12&lt;&gt;"",I12&lt;&gt;""),MOD(I12-H12,1)*24,0)+IF(AND(J12&lt;&gt;"",K12&lt;&gt;""),MOD(K12-J12,1)*24,0)+IF(AND(L12&lt;&gt;"",M12&lt;&gt;""),MOD(M12-L12,1)*24,0)+IF(AND(N12&lt;&gt;"",O12&lt;&gt;""),MOD(O12-N12,1)*24,0)+IF(AND(P12&lt;&gt;"",Q12&lt;&gt;""),MOD(Q12-P12,1)*24,0)</f>
        <v/>
      </c>
      <c r="S12" s="12">
        <f>R12*C12</f>
        <v/>
      </c>
    </row>
    <row r="13">
      <c r="A13" s="7" t="n"/>
      <c r="B13" s="7" t="n"/>
      <c r="C13" s="8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10">
        <f>IF(AND(D13&lt;&gt;"",E13&lt;&gt;""),MOD(E13-D13,1)*24,0)+IF(AND(F13&lt;&gt;"",G13&lt;&gt;""),MOD(G13-F13,1)*24,0)+IF(AND(H13&lt;&gt;"",I13&lt;&gt;""),MOD(I13-H13,1)*24,0)+IF(AND(J13&lt;&gt;"",K13&lt;&gt;""),MOD(K13-J13,1)*24,0)+IF(AND(L13&lt;&gt;"",M13&lt;&gt;""),MOD(M13-L13,1)*24,0)+IF(AND(N13&lt;&gt;"",O13&lt;&gt;""),MOD(O13-N13,1)*24,0)+IF(AND(P13&lt;&gt;"",Q13&lt;&gt;""),MOD(Q13-P13,1)*24,0)</f>
        <v/>
      </c>
      <c r="S13" s="8">
        <f>R13*C13</f>
        <v/>
      </c>
    </row>
    <row r="14">
      <c r="A14" s="11" t="n"/>
      <c r="B14" s="11" t="n"/>
      <c r="C14" s="12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4">
        <f>IF(AND(D14&lt;&gt;"",E14&lt;&gt;""),MOD(E14-D14,1)*24,0)+IF(AND(F14&lt;&gt;"",G14&lt;&gt;""),MOD(G14-F14,1)*24,0)+IF(AND(H14&lt;&gt;"",I14&lt;&gt;""),MOD(I14-H14,1)*24,0)+IF(AND(J14&lt;&gt;"",K14&lt;&gt;""),MOD(K14-J14,1)*24,0)+IF(AND(L14&lt;&gt;"",M14&lt;&gt;""),MOD(M14-L14,1)*24,0)+IF(AND(N14&lt;&gt;"",O14&lt;&gt;""),MOD(O14-N14,1)*24,0)+IF(AND(P14&lt;&gt;"",Q14&lt;&gt;""),MOD(Q14-P14,1)*24,0)</f>
        <v/>
      </c>
      <c r="S14" s="12">
        <f>R14*C14</f>
        <v/>
      </c>
    </row>
    <row r="15">
      <c r="A15" s="7" t="n"/>
      <c r="B15" s="7" t="n"/>
      <c r="C15" s="8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10">
        <f>IF(AND(D15&lt;&gt;"",E15&lt;&gt;""),MOD(E15-D15,1)*24,0)+IF(AND(F15&lt;&gt;"",G15&lt;&gt;""),MOD(G15-F15,1)*24,0)+IF(AND(H15&lt;&gt;"",I15&lt;&gt;""),MOD(I15-H15,1)*24,0)+IF(AND(J15&lt;&gt;"",K15&lt;&gt;""),MOD(K15-J15,1)*24,0)+IF(AND(L15&lt;&gt;"",M15&lt;&gt;""),MOD(M15-L15,1)*24,0)+IF(AND(N15&lt;&gt;"",O15&lt;&gt;""),MOD(O15-N15,1)*24,0)+IF(AND(P15&lt;&gt;"",Q15&lt;&gt;""),MOD(Q15-P15,1)*24,0)</f>
        <v/>
      </c>
      <c r="S15" s="8">
        <f>R15*C15</f>
        <v/>
      </c>
    </row>
    <row r="16">
      <c r="A16" s="11" t="n"/>
      <c r="B16" s="11" t="n"/>
      <c r="C16" s="12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4">
        <f>IF(AND(D16&lt;&gt;"",E16&lt;&gt;""),MOD(E16-D16,1)*24,0)+IF(AND(F16&lt;&gt;"",G16&lt;&gt;""),MOD(G16-F16,1)*24,0)+IF(AND(H16&lt;&gt;"",I16&lt;&gt;""),MOD(I16-H16,1)*24,0)+IF(AND(J16&lt;&gt;"",K16&lt;&gt;""),MOD(K16-J16,1)*24,0)+IF(AND(L16&lt;&gt;"",M16&lt;&gt;""),MOD(M16-L16,1)*24,0)+IF(AND(N16&lt;&gt;"",O16&lt;&gt;""),MOD(O16-N16,1)*24,0)+IF(AND(P16&lt;&gt;"",Q16&lt;&gt;""),MOD(Q16-P16,1)*24,0)</f>
        <v/>
      </c>
      <c r="S16" s="12">
        <f>R16*C16</f>
        <v/>
      </c>
    </row>
    <row r="17">
      <c r="A17" s="7" t="n"/>
      <c r="B17" s="7" t="n"/>
      <c r="C17" s="8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10">
        <f>IF(AND(D17&lt;&gt;"",E17&lt;&gt;""),MOD(E17-D17,1)*24,0)+IF(AND(F17&lt;&gt;"",G17&lt;&gt;""),MOD(G17-F17,1)*24,0)+IF(AND(H17&lt;&gt;"",I17&lt;&gt;""),MOD(I17-H17,1)*24,0)+IF(AND(J17&lt;&gt;"",K17&lt;&gt;""),MOD(K17-J17,1)*24,0)+IF(AND(L17&lt;&gt;"",M17&lt;&gt;""),MOD(M17-L17,1)*24,0)+IF(AND(N17&lt;&gt;"",O17&lt;&gt;""),MOD(O17-N17,1)*24,0)+IF(AND(P17&lt;&gt;"",Q17&lt;&gt;""),MOD(Q17-P17,1)*24,0)</f>
        <v/>
      </c>
      <c r="S17" s="8">
        <f>R17*C17</f>
        <v/>
      </c>
    </row>
    <row r="18">
      <c r="A18" s="11" t="n"/>
      <c r="B18" s="11" t="n"/>
      <c r="C18" s="12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4">
        <f>IF(AND(D18&lt;&gt;"",E18&lt;&gt;""),MOD(E18-D18,1)*24,0)+IF(AND(F18&lt;&gt;"",G18&lt;&gt;""),MOD(G18-F18,1)*24,0)+IF(AND(H18&lt;&gt;"",I18&lt;&gt;""),MOD(I18-H18,1)*24,0)+IF(AND(J18&lt;&gt;"",K18&lt;&gt;""),MOD(K18-J18,1)*24,0)+IF(AND(L18&lt;&gt;"",M18&lt;&gt;""),MOD(M18-L18,1)*24,0)+IF(AND(N18&lt;&gt;"",O18&lt;&gt;""),MOD(O18-N18,1)*24,0)+IF(AND(P18&lt;&gt;"",Q18&lt;&gt;""),MOD(Q18-P18,1)*24,0)</f>
        <v/>
      </c>
      <c r="S18" s="12">
        <f>R18*C18</f>
        <v/>
      </c>
    </row>
    <row r="19">
      <c r="A19" s="7" t="n"/>
      <c r="B19" s="7" t="n"/>
      <c r="C19" s="8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10">
        <f>IF(AND(D19&lt;&gt;"",E19&lt;&gt;""),MOD(E19-D19,1)*24,0)+IF(AND(F19&lt;&gt;"",G19&lt;&gt;""),MOD(G19-F19,1)*24,0)+IF(AND(H19&lt;&gt;"",I19&lt;&gt;""),MOD(I19-H19,1)*24,0)+IF(AND(J19&lt;&gt;"",K19&lt;&gt;""),MOD(K19-J19,1)*24,0)+IF(AND(L19&lt;&gt;"",M19&lt;&gt;""),MOD(M19-L19,1)*24,0)+IF(AND(N19&lt;&gt;"",O19&lt;&gt;""),MOD(O19-N19,1)*24,0)+IF(AND(P19&lt;&gt;"",Q19&lt;&gt;""),MOD(Q19-P19,1)*24,0)</f>
        <v/>
      </c>
      <c r="S19" s="8">
        <f>R19*C19</f>
        <v/>
      </c>
    </row>
    <row r="20">
      <c r="A20" s="11" t="n"/>
      <c r="B20" s="11" t="n"/>
      <c r="C20" s="12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4">
        <f>IF(AND(D20&lt;&gt;"",E20&lt;&gt;""),MOD(E20-D20,1)*24,0)+IF(AND(F20&lt;&gt;"",G20&lt;&gt;""),MOD(G20-F20,1)*24,0)+IF(AND(H20&lt;&gt;"",I20&lt;&gt;""),MOD(I20-H20,1)*24,0)+IF(AND(J20&lt;&gt;"",K20&lt;&gt;""),MOD(K20-J20,1)*24,0)+IF(AND(L20&lt;&gt;"",M20&lt;&gt;""),MOD(M20-L20,1)*24,0)+IF(AND(N20&lt;&gt;"",O20&lt;&gt;""),MOD(O20-N20,1)*24,0)+IF(AND(P20&lt;&gt;"",Q20&lt;&gt;""),MOD(Q20-P20,1)*24,0)</f>
        <v/>
      </c>
      <c r="S20" s="12">
        <f>R20*C20</f>
        <v/>
      </c>
    </row>
    <row r="21">
      <c r="A21" s="7" t="n"/>
      <c r="B21" s="7" t="n"/>
      <c r="C21" s="8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10">
        <f>IF(AND(D21&lt;&gt;"",E21&lt;&gt;""),MOD(E21-D21,1)*24,0)+IF(AND(F21&lt;&gt;"",G21&lt;&gt;""),MOD(G21-F21,1)*24,0)+IF(AND(H21&lt;&gt;"",I21&lt;&gt;""),MOD(I21-H21,1)*24,0)+IF(AND(J21&lt;&gt;"",K21&lt;&gt;""),MOD(K21-J21,1)*24,0)+IF(AND(L21&lt;&gt;"",M21&lt;&gt;""),MOD(M21-L21,1)*24,0)+IF(AND(N21&lt;&gt;"",O21&lt;&gt;""),MOD(O21-N21,1)*24,0)+IF(AND(P21&lt;&gt;"",Q21&lt;&gt;""),MOD(Q21-P21,1)*24,0)</f>
        <v/>
      </c>
      <c r="S21" s="8">
        <f>R21*C21</f>
        <v/>
      </c>
    </row>
    <row r="22">
      <c r="A22" s="11" t="n"/>
      <c r="B22" s="11" t="n"/>
      <c r="C22" s="12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4">
        <f>IF(AND(D22&lt;&gt;"",E22&lt;&gt;""),MOD(E22-D22,1)*24,0)+IF(AND(F22&lt;&gt;"",G22&lt;&gt;""),MOD(G22-F22,1)*24,0)+IF(AND(H22&lt;&gt;"",I22&lt;&gt;""),MOD(I22-H22,1)*24,0)+IF(AND(J22&lt;&gt;"",K22&lt;&gt;""),MOD(K22-J22,1)*24,0)+IF(AND(L22&lt;&gt;"",M22&lt;&gt;""),MOD(M22-L22,1)*24,0)+IF(AND(N22&lt;&gt;"",O22&lt;&gt;""),MOD(O22-N22,1)*24,0)+IF(AND(P22&lt;&gt;"",Q22&lt;&gt;""),MOD(Q22-P22,1)*24,0)</f>
        <v/>
      </c>
      <c r="S22" s="12">
        <f>R22*C22</f>
        <v/>
      </c>
    </row>
    <row r="23">
      <c r="A23" s="7" t="n"/>
      <c r="B23" s="7" t="n"/>
      <c r="C23" s="8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10">
        <f>IF(AND(D23&lt;&gt;"",E23&lt;&gt;""),MOD(E23-D23,1)*24,0)+IF(AND(F23&lt;&gt;"",G23&lt;&gt;""),MOD(G23-F23,1)*24,0)+IF(AND(H23&lt;&gt;"",I23&lt;&gt;""),MOD(I23-H23,1)*24,0)+IF(AND(J23&lt;&gt;"",K23&lt;&gt;""),MOD(K23-J23,1)*24,0)+IF(AND(L23&lt;&gt;"",M23&lt;&gt;""),MOD(M23-L23,1)*24,0)+IF(AND(N23&lt;&gt;"",O23&lt;&gt;""),MOD(O23-N23,1)*24,0)+IF(AND(P23&lt;&gt;"",Q23&lt;&gt;""),MOD(Q23-P23,1)*24,0)</f>
        <v/>
      </c>
      <c r="S23" s="8">
        <f>R23*C23</f>
        <v/>
      </c>
    </row>
    <row r="24">
      <c r="A24" s="11" t="n"/>
      <c r="B24" s="11" t="n"/>
      <c r="C24" s="12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4">
        <f>IF(AND(D24&lt;&gt;"",E24&lt;&gt;""),MOD(E24-D24,1)*24,0)+IF(AND(F24&lt;&gt;"",G24&lt;&gt;""),MOD(G24-F24,1)*24,0)+IF(AND(H24&lt;&gt;"",I24&lt;&gt;""),MOD(I24-H24,1)*24,0)+IF(AND(J24&lt;&gt;"",K24&lt;&gt;""),MOD(K24-J24,1)*24,0)+IF(AND(L24&lt;&gt;"",M24&lt;&gt;""),MOD(M24-L24,1)*24,0)+IF(AND(N24&lt;&gt;"",O24&lt;&gt;""),MOD(O24-N24,1)*24,0)+IF(AND(P24&lt;&gt;"",Q24&lt;&gt;""),MOD(Q24-P24,1)*24,0)</f>
        <v/>
      </c>
      <c r="S24" s="12">
        <f>R24*C24</f>
        <v/>
      </c>
    </row>
    <row r="25">
      <c r="A25" s="7" t="n"/>
      <c r="B25" s="7" t="n"/>
      <c r="C25" s="8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10">
        <f>IF(AND(D25&lt;&gt;"",E25&lt;&gt;""),MOD(E25-D25,1)*24,0)+IF(AND(F25&lt;&gt;"",G25&lt;&gt;""),MOD(G25-F25,1)*24,0)+IF(AND(H25&lt;&gt;"",I25&lt;&gt;""),MOD(I25-H25,1)*24,0)+IF(AND(J25&lt;&gt;"",K25&lt;&gt;""),MOD(K25-J25,1)*24,0)+IF(AND(L25&lt;&gt;"",M25&lt;&gt;""),MOD(M25-L25,1)*24,0)+IF(AND(N25&lt;&gt;"",O25&lt;&gt;""),MOD(O25-N25,1)*24,0)+IF(AND(P25&lt;&gt;"",Q25&lt;&gt;""),MOD(Q25-P25,1)*24,0)</f>
        <v/>
      </c>
      <c r="S25" s="8">
        <f>R25*C25</f>
        <v/>
      </c>
    </row>
    <row r="26">
      <c r="A26" s="11" t="n"/>
      <c r="B26" s="11" t="n"/>
      <c r="C26" s="12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4">
        <f>IF(AND(D26&lt;&gt;"",E26&lt;&gt;""),MOD(E26-D26,1)*24,0)+IF(AND(F26&lt;&gt;"",G26&lt;&gt;""),MOD(G26-F26,1)*24,0)+IF(AND(H26&lt;&gt;"",I26&lt;&gt;""),MOD(I26-H26,1)*24,0)+IF(AND(J26&lt;&gt;"",K26&lt;&gt;""),MOD(K26-J26,1)*24,0)+IF(AND(L26&lt;&gt;"",M26&lt;&gt;""),MOD(M26-L26,1)*24,0)+IF(AND(N26&lt;&gt;"",O26&lt;&gt;""),MOD(O26-N26,1)*24,0)+IF(AND(P26&lt;&gt;"",Q26&lt;&gt;""),MOD(Q26-P26,1)*24,0)</f>
        <v/>
      </c>
      <c r="S26" s="12">
        <f>R26*C26</f>
        <v/>
      </c>
    </row>
    <row r="27">
      <c r="A27" s="15" t="inlineStr">
        <is>
          <t>Total</t>
        </is>
      </c>
      <c r="B27" s="15" t="n"/>
      <c r="C27" s="15" t="n"/>
      <c r="D27" s="16">
        <f>IF(AND(D7&lt;&gt;"",E7&lt;&gt;""),MOD(E7-D7,1)*24,0)+IF(AND(D8&lt;&gt;"",E8&lt;&gt;""),MOD(E8-D8,1)*24,0)+IF(AND(D9&lt;&gt;"",E9&lt;&gt;""),MOD(E9-D9,1)*24,0)+IF(AND(D10&lt;&gt;"",E10&lt;&gt;""),MOD(E10-D10,1)*24,0)+IF(AND(D11&lt;&gt;"",E11&lt;&gt;""),MOD(E11-D11,1)*24,0)+IF(AND(D12&lt;&gt;"",E12&lt;&gt;""),MOD(E12-D12,1)*24,0)+IF(AND(D13&lt;&gt;"",E13&lt;&gt;""),MOD(E13-D13,1)*24,0)+IF(AND(D14&lt;&gt;"",E14&lt;&gt;""),MOD(E14-D14,1)*24,0)+IF(AND(D15&lt;&gt;"",E15&lt;&gt;""),MOD(E15-D15,1)*24,0)+IF(AND(D16&lt;&gt;"",E16&lt;&gt;""),MOD(E16-D16,1)*24,0)+IF(AND(D17&lt;&gt;"",E17&lt;&gt;""),MOD(E17-D17,1)*24,0)+IF(AND(D18&lt;&gt;"",E18&lt;&gt;""),MOD(E18-D18,1)*24,0)+IF(AND(D19&lt;&gt;"",E19&lt;&gt;""),MOD(E19-D19,1)*24,0)+IF(AND(D20&lt;&gt;"",E20&lt;&gt;""),MOD(E20-D20,1)*24,0)+IF(AND(D21&lt;&gt;"",E21&lt;&gt;""),MOD(E21-D21,1)*24,0)+IF(AND(D22&lt;&gt;"",E22&lt;&gt;""),MOD(E22-D22,1)*24,0)+IF(AND(D23&lt;&gt;"",E23&lt;&gt;""),MOD(E23-D23,1)*24,0)+IF(AND(D24&lt;&gt;"",E24&lt;&gt;""),MOD(E24-D24,1)*24,0)+IF(AND(D25&lt;&gt;"",E25&lt;&gt;""),MOD(E25-D25,1)*24,0)+IF(AND(D26&lt;&gt;"",E26&lt;&gt;""),MOD(E26-D26,1)*24,0)</f>
        <v/>
      </c>
      <c r="E27" s="17" t="n"/>
      <c r="F27" s="16">
        <f>IF(AND(F7&lt;&gt;"",G7&lt;&gt;""),MOD(G7-F7,1)*24,0)+IF(AND(F8&lt;&gt;"",G8&lt;&gt;""),MOD(G8-F8,1)*24,0)+IF(AND(F9&lt;&gt;"",G9&lt;&gt;""),MOD(G9-F9,1)*24,0)+IF(AND(F10&lt;&gt;"",G10&lt;&gt;""),MOD(G10-F10,1)*24,0)+IF(AND(F11&lt;&gt;"",G11&lt;&gt;""),MOD(G11-F11,1)*24,0)+IF(AND(F12&lt;&gt;"",G12&lt;&gt;""),MOD(G12-F12,1)*24,0)+IF(AND(F13&lt;&gt;"",G13&lt;&gt;""),MOD(G13-F13,1)*24,0)+IF(AND(F14&lt;&gt;"",G14&lt;&gt;""),MOD(G14-F14,1)*24,0)+IF(AND(F15&lt;&gt;"",G15&lt;&gt;""),MOD(G15-F15,1)*24,0)+IF(AND(F16&lt;&gt;"",G16&lt;&gt;""),MOD(G16-F16,1)*24,0)+IF(AND(F17&lt;&gt;"",G17&lt;&gt;""),MOD(G17-F17,1)*24,0)+IF(AND(F18&lt;&gt;"",G18&lt;&gt;""),MOD(G18-F18,1)*24,0)+IF(AND(F19&lt;&gt;"",G19&lt;&gt;""),MOD(G19-F19,1)*24,0)+IF(AND(F20&lt;&gt;"",G20&lt;&gt;""),MOD(G20-F20,1)*24,0)+IF(AND(F21&lt;&gt;"",G21&lt;&gt;""),MOD(G21-F21,1)*24,0)+IF(AND(F22&lt;&gt;"",G22&lt;&gt;""),MOD(G22-F22,1)*24,0)+IF(AND(F23&lt;&gt;"",G23&lt;&gt;""),MOD(G23-F23,1)*24,0)+IF(AND(F24&lt;&gt;"",G24&lt;&gt;""),MOD(G24-F24,1)*24,0)+IF(AND(F25&lt;&gt;"",G25&lt;&gt;""),MOD(G25-F25,1)*24,0)+IF(AND(F26&lt;&gt;"",G26&lt;&gt;""),MOD(G26-F26,1)*24,0)</f>
        <v/>
      </c>
      <c r="G27" s="17" t="n"/>
      <c r="H27" s="16">
        <f>IF(AND(H7&lt;&gt;"",I7&lt;&gt;""),MOD(I7-H7,1)*24,0)+IF(AND(H8&lt;&gt;"",I8&lt;&gt;""),MOD(I8-H8,1)*24,0)+IF(AND(H9&lt;&gt;"",I9&lt;&gt;""),MOD(I9-H9,1)*24,0)+IF(AND(H10&lt;&gt;"",I10&lt;&gt;""),MOD(I10-H10,1)*24,0)+IF(AND(H11&lt;&gt;"",I11&lt;&gt;""),MOD(I11-H11,1)*24,0)+IF(AND(H12&lt;&gt;"",I12&lt;&gt;""),MOD(I12-H12,1)*24,0)+IF(AND(H13&lt;&gt;"",I13&lt;&gt;""),MOD(I13-H13,1)*24,0)+IF(AND(H14&lt;&gt;"",I14&lt;&gt;""),MOD(I14-H14,1)*24,0)+IF(AND(H15&lt;&gt;"",I15&lt;&gt;""),MOD(I15-H15,1)*24,0)+IF(AND(H16&lt;&gt;"",I16&lt;&gt;""),MOD(I16-H16,1)*24,0)+IF(AND(H17&lt;&gt;"",I17&lt;&gt;""),MOD(I17-H17,1)*24,0)+IF(AND(H18&lt;&gt;"",I18&lt;&gt;""),MOD(I18-H18,1)*24,0)+IF(AND(H19&lt;&gt;"",I19&lt;&gt;""),MOD(I19-H19,1)*24,0)+IF(AND(H20&lt;&gt;"",I20&lt;&gt;""),MOD(I20-H20,1)*24,0)+IF(AND(H21&lt;&gt;"",I21&lt;&gt;""),MOD(I21-H21,1)*24,0)+IF(AND(H22&lt;&gt;"",I22&lt;&gt;""),MOD(I22-H22,1)*24,0)+IF(AND(H23&lt;&gt;"",I23&lt;&gt;""),MOD(I23-H23,1)*24,0)+IF(AND(H24&lt;&gt;"",I24&lt;&gt;""),MOD(I24-H24,1)*24,0)+IF(AND(H25&lt;&gt;"",I25&lt;&gt;""),MOD(I25-H25,1)*24,0)+IF(AND(H26&lt;&gt;"",I26&lt;&gt;""),MOD(I26-H26,1)*24,0)</f>
        <v/>
      </c>
      <c r="I27" s="17" t="n"/>
      <c r="J27" s="16">
        <f>IF(AND(J7&lt;&gt;"",K7&lt;&gt;""),MOD(K7-J7,1)*24,0)+IF(AND(J8&lt;&gt;"",K8&lt;&gt;""),MOD(K8-J8,1)*24,0)+IF(AND(J9&lt;&gt;"",K9&lt;&gt;""),MOD(K9-J9,1)*24,0)+IF(AND(J10&lt;&gt;"",K10&lt;&gt;""),MOD(K10-J10,1)*24,0)+IF(AND(J11&lt;&gt;"",K11&lt;&gt;""),MOD(K11-J11,1)*24,0)+IF(AND(J12&lt;&gt;"",K12&lt;&gt;""),MOD(K12-J12,1)*24,0)+IF(AND(J13&lt;&gt;"",K13&lt;&gt;""),MOD(K13-J13,1)*24,0)+IF(AND(J14&lt;&gt;"",K14&lt;&gt;""),MOD(K14-J14,1)*24,0)+IF(AND(J15&lt;&gt;"",K15&lt;&gt;""),MOD(K15-J15,1)*24,0)+IF(AND(J16&lt;&gt;"",K16&lt;&gt;""),MOD(K16-J16,1)*24,0)+IF(AND(J17&lt;&gt;"",K17&lt;&gt;""),MOD(K17-J17,1)*24,0)+IF(AND(J18&lt;&gt;"",K18&lt;&gt;""),MOD(K18-J18,1)*24,0)+IF(AND(J19&lt;&gt;"",K19&lt;&gt;""),MOD(K19-J19,1)*24,0)+IF(AND(J20&lt;&gt;"",K20&lt;&gt;""),MOD(K20-J20,1)*24,0)+IF(AND(J21&lt;&gt;"",K21&lt;&gt;""),MOD(K21-J21,1)*24,0)+IF(AND(J22&lt;&gt;"",K22&lt;&gt;""),MOD(K22-J22,1)*24,0)+IF(AND(J23&lt;&gt;"",K23&lt;&gt;""),MOD(K23-J23,1)*24,0)+IF(AND(J24&lt;&gt;"",K24&lt;&gt;""),MOD(K24-J24,1)*24,0)+IF(AND(J25&lt;&gt;"",K25&lt;&gt;""),MOD(K25-J25,1)*24,0)+IF(AND(J26&lt;&gt;"",K26&lt;&gt;""),MOD(K26-J26,1)*24,0)</f>
        <v/>
      </c>
      <c r="K27" s="17" t="n"/>
      <c r="L27" s="16">
        <f>IF(AND(L7&lt;&gt;"",M7&lt;&gt;""),MOD(M7-L7,1)*24,0)+IF(AND(L8&lt;&gt;"",M8&lt;&gt;""),MOD(M8-L8,1)*24,0)+IF(AND(L9&lt;&gt;"",M9&lt;&gt;""),MOD(M9-L9,1)*24,0)+IF(AND(L10&lt;&gt;"",M10&lt;&gt;""),MOD(M10-L10,1)*24,0)+IF(AND(L11&lt;&gt;"",M11&lt;&gt;""),MOD(M11-L11,1)*24,0)+IF(AND(L12&lt;&gt;"",M12&lt;&gt;""),MOD(M12-L12,1)*24,0)+IF(AND(L13&lt;&gt;"",M13&lt;&gt;""),MOD(M13-L13,1)*24,0)+IF(AND(L14&lt;&gt;"",M14&lt;&gt;""),MOD(M14-L14,1)*24,0)+IF(AND(L15&lt;&gt;"",M15&lt;&gt;""),MOD(M15-L15,1)*24,0)+IF(AND(L16&lt;&gt;"",M16&lt;&gt;""),MOD(M16-L16,1)*24,0)+IF(AND(L17&lt;&gt;"",M17&lt;&gt;""),MOD(M17-L17,1)*24,0)+IF(AND(L18&lt;&gt;"",M18&lt;&gt;""),MOD(M18-L18,1)*24,0)+IF(AND(L19&lt;&gt;"",M19&lt;&gt;""),MOD(M19-L19,1)*24,0)+IF(AND(L20&lt;&gt;"",M20&lt;&gt;""),MOD(M20-L20,1)*24,0)+IF(AND(L21&lt;&gt;"",M21&lt;&gt;""),MOD(M21-L21,1)*24,0)+IF(AND(L22&lt;&gt;"",M22&lt;&gt;""),MOD(M22-L22,1)*24,0)+IF(AND(L23&lt;&gt;"",M23&lt;&gt;""),MOD(M23-L23,1)*24,0)+IF(AND(L24&lt;&gt;"",M24&lt;&gt;""),MOD(M24-L24,1)*24,0)+IF(AND(L25&lt;&gt;"",M25&lt;&gt;""),MOD(M25-L25,1)*24,0)+IF(AND(L26&lt;&gt;"",M26&lt;&gt;""),MOD(M26-L26,1)*24,0)</f>
        <v/>
      </c>
      <c r="M27" s="17" t="n"/>
      <c r="N27" s="16">
        <f>IF(AND(N7&lt;&gt;"",O7&lt;&gt;""),MOD(O7-N7,1)*24,0)+IF(AND(N8&lt;&gt;"",O8&lt;&gt;""),MOD(O8-N8,1)*24,0)+IF(AND(N9&lt;&gt;"",O9&lt;&gt;""),MOD(O9-N9,1)*24,0)+IF(AND(N10&lt;&gt;"",O10&lt;&gt;""),MOD(O10-N10,1)*24,0)+IF(AND(N11&lt;&gt;"",O11&lt;&gt;""),MOD(O11-N11,1)*24,0)+IF(AND(N12&lt;&gt;"",O12&lt;&gt;""),MOD(O12-N12,1)*24,0)+IF(AND(N13&lt;&gt;"",O13&lt;&gt;""),MOD(O13-N13,1)*24,0)+IF(AND(N14&lt;&gt;"",O14&lt;&gt;""),MOD(O14-N14,1)*24,0)+IF(AND(N15&lt;&gt;"",O15&lt;&gt;""),MOD(O15-N15,1)*24,0)+IF(AND(N16&lt;&gt;"",O16&lt;&gt;""),MOD(O16-N16,1)*24,0)+IF(AND(N17&lt;&gt;"",O17&lt;&gt;""),MOD(O17-N17,1)*24,0)+IF(AND(N18&lt;&gt;"",O18&lt;&gt;""),MOD(O18-N18,1)*24,0)+IF(AND(N19&lt;&gt;"",O19&lt;&gt;""),MOD(O19-N19,1)*24,0)+IF(AND(N20&lt;&gt;"",O20&lt;&gt;""),MOD(O20-N20,1)*24,0)+IF(AND(N21&lt;&gt;"",O21&lt;&gt;""),MOD(O21-N21,1)*24,0)+IF(AND(N22&lt;&gt;"",O22&lt;&gt;""),MOD(O22-N22,1)*24,0)+IF(AND(N23&lt;&gt;"",O23&lt;&gt;""),MOD(O23-N23,1)*24,0)+IF(AND(N24&lt;&gt;"",O24&lt;&gt;""),MOD(O24-N24,1)*24,0)+IF(AND(N25&lt;&gt;"",O25&lt;&gt;""),MOD(O25-N25,1)*24,0)+IF(AND(N26&lt;&gt;"",O26&lt;&gt;""),MOD(O26-N26,1)*24,0)</f>
        <v/>
      </c>
      <c r="O27" s="17" t="n"/>
      <c r="P27" s="16">
        <f>IF(AND(P7&lt;&gt;"",Q7&lt;&gt;""),MOD(Q7-P7,1)*24,0)+IF(AND(P8&lt;&gt;"",Q8&lt;&gt;""),MOD(Q8-P8,1)*24,0)+IF(AND(P9&lt;&gt;"",Q9&lt;&gt;""),MOD(Q9-P9,1)*24,0)+IF(AND(P10&lt;&gt;"",Q10&lt;&gt;""),MOD(Q10-P10,1)*24,0)+IF(AND(P11&lt;&gt;"",Q11&lt;&gt;""),MOD(Q11-P11,1)*24,0)+IF(AND(P12&lt;&gt;"",Q12&lt;&gt;""),MOD(Q12-P12,1)*24,0)+IF(AND(P13&lt;&gt;"",Q13&lt;&gt;""),MOD(Q13-P13,1)*24,0)+IF(AND(P14&lt;&gt;"",Q14&lt;&gt;""),MOD(Q14-P14,1)*24,0)+IF(AND(P15&lt;&gt;"",Q15&lt;&gt;""),MOD(Q15-P15,1)*24,0)+IF(AND(P16&lt;&gt;"",Q16&lt;&gt;""),MOD(Q16-P16,1)*24,0)+IF(AND(P17&lt;&gt;"",Q17&lt;&gt;""),MOD(Q17-P17,1)*24,0)+IF(AND(P18&lt;&gt;"",Q18&lt;&gt;""),MOD(Q18-P18,1)*24,0)+IF(AND(P19&lt;&gt;"",Q19&lt;&gt;""),MOD(Q19-P19,1)*24,0)+IF(AND(P20&lt;&gt;"",Q20&lt;&gt;""),MOD(Q20-P20,1)*24,0)+IF(AND(P21&lt;&gt;"",Q21&lt;&gt;""),MOD(Q21-P21,1)*24,0)+IF(AND(P22&lt;&gt;"",Q22&lt;&gt;""),MOD(Q22-P22,1)*24,0)+IF(AND(P23&lt;&gt;"",Q23&lt;&gt;""),MOD(Q23-P23,1)*24,0)+IF(AND(P24&lt;&gt;"",Q24&lt;&gt;""),MOD(Q24-P24,1)*24,0)+IF(AND(P25&lt;&gt;"",Q25&lt;&gt;""),MOD(Q25-P25,1)*24,0)+IF(AND(P26&lt;&gt;"",Q26&lt;&gt;""),MOD(Q26-P26,1)*24,0)</f>
        <v/>
      </c>
      <c r="Q27" s="17" t="n"/>
      <c r="R27" s="18">
        <f>SUM(R7:R26)</f>
        <v/>
      </c>
      <c r="S27" s="19">
        <f>SUM(S7:S26)</f>
        <v/>
      </c>
    </row>
    <row r="29">
      <c r="A29" s="20" t="inlineStr">
        <is>
          <t>Weekly sales forecast ($)</t>
        </is>
      </c>
      <c r="C29" s="21" t="n">
        <v>25000</v>
      </c>
    </row>
    <row r="30">
      <c r="A30" s="20" t="inlineStr">
        <is>
          <t>Labor cost % of sales</t>
        </is>
      </c>
      <c r="C30" s="22">
        <f>IF(C29&gt;0,S27/C29,0)</f>
        <v/>
      </c>
      <c r="D30" s="23" t="inlineStr">
        <is>
          <t>Most full-service restaurants aim for 25–35%.</t>
        </is>
      </c>
    </row>
  </sheetData>
  <mergeCells count="19">
    <mergeCell ref="J5:K5"/>
    <mergeCell ref="F5:G5"/>
    <mergeCell ref="D27:E27"/>
    <mergeCell ref="N27:O27"/>
    <mergeCell ref="L5:M5"/>
    <mergeCell ref="J27:K27"/>
    <mergeCell ref="P27:Q27"/>
    <mergeCell ref="N5:O5"/>
    <mergeCell ref="A5:A6"/>
    <mergeCell ref="S5:S6"/>
    <mergeCell ref="F27:G27"/>
    <mergeCell ref="B5:B6"/>
    <mergeCell ref="H27:I27"/>
    <mergeCell ref="R5:R6"/>
    <mergeCell ref="D5:E5"/>
    <mergeCell ref="H5:I5"/>
    <mergeCell ref="L27:M27"/>
    <mergeCell ref="P5:Q5"/>
    <mergeCell ref="C5:C6"/>
  </mergeCells>
  <dataValidations count="1">
    <dataValidation sqref="D7:Q26" showDropDown="0" showInputMessage="0" showErrorMessage="1" allowBlank="1" errorTitle="Time" error="Enter a time like 9:00 AM or 17:30" type="time" operator="between">
      <formula1>0</formula1>
      <formula2>0.999988</formula2>
    </dataValidation>
  </dataValidations>
  <hyperlinks>
    <hyperlink xmlns:r="http://schemas.openxmlformats.org/officeDocument/2006/relationships" ref="E2" r:id="rId1"/>
  </hyperlinks>
  <printOptions horizontalCentered="1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4" t="inlineStr">
        <is>
          <t>How to use this schedule template</t>
        </is>
      </c>
    </row>
    <row r="2">
      <c r="A2" s="25" t="inlineStr"/>
    </row>
    <row r="3">
      <c r="A3" s="25" t="inlineStr">
        <is>
          <t>1. Set the restaurant name and the Monday of the week (cell B3). The day headers update themselves.</t>
        </is>
      </c>
    </row>
    <row r="4">
      <c r="A4" s="25" t="inlineStr">
        <is>
          <t>2. List your team: name, position and hourly rate. Delete the three example people.</t>
        </is>
      </c>
    </row>
    <row r="5">
      <c r="A5" s="25" t="inlineStr">
        <is>
          <t>3. Type each shift's In and Out time, like 9:00 AM or 17:30. Leave both empty for a day off.</t>
        </is>
      </c>
    </row>
    <row r="6">
      <c r="A6" s="25" t="inlineStr">
        <is>
          <t>4. Hours and labor cost add up on their own, including shifts that end after midnight.</t>
        </is>
      </c>
    </row>
    <row r="7">
      <c r="A7" s="25" t="inlineStr">
        <is>
          <t>5. Enter your sales forecast to see labor cost as a % of sales.</t>
        </is>
      </c>
    </row>
    <row r="8">
      <c r="A8" s="25" t="inlineStr">
        <is>
          <t>6. Print it (fits one landscape page) or share it. Works in Excel and Google Sheets (File → Import).</t>
        </is>
      </c>
    </row>
    <row r="9">
      <c r="A9" s="25" t="inlineStr"/>
    </row>
    <row r="10">
      <c r="A10" s="26" t="inlineStr">
        <is>
          <t>Tired of rebuilding it every week?</t>
        </is>
      </c>
    </row>
    <row r="11">
      <c r="A11" s="25" t="inlineStr">
        <is>
          <t>Platofy builds the week from your team's availability, sends it to everyone's phone,</t>
        </is>
      </c>
    </row>
    <row r="12">
      <c r="A12" s="25" t="inlineStr">
        <is>
          <t>handles swaps and time off, clocks people in and exports approved hours for payroll.</t>
        </is>
      </c>
    </row>
    <row r="13">
      <c r="A13" s="25" t="inlineStr">
        <is>
          <t>Free for one location and up to 15 people: https://platofy.app</t>
        </is>
      </c>
    </row>
  </sheetData>
  <hyperlinks>
    <hyperlink xmlns:r="http://schemas.openxmlformats.org/officeDocument/2006/relationships" ref="A1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2026-09-30T22:01:18Z</dcterms:created>
  <dcterms:modified xsi:type="dcterms:W3CDTF">2026-09-30T22:01:18Z</dcterms:modified>
</cp:coreProperties>
</file>